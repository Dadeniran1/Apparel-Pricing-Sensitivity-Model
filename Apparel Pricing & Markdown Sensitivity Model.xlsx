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Adeniran\Documents\MBA Folder\Projects\Apparel Pricing &amp; Markdown Sensitivity\"/>
    </mc:Choice>
  </mc:AlternateContent>
  <xr:revisionPtr revIDLastSave="0" documentId="13_ncr:1_{66672DEF-1039-497A-A7F6-C865B58AA811}" xr6:coauthVersionLast="47" xr6:coauthVersionMax="47" xr10:uidLastSave="{00000000-0000-0000-0000-000000000000}"/>
  <bookViews>
    <workbookView xWindow="28680" yWindow="-120" windowWidth="29040" windowHeight="15720" tabRatio="711" activeTab="5" xr2:uid="{A2670FEB-137D-4670-8D27-BF2DBCDF91EA}"/>
  </bookViews>
  <sheets>
    <sheet name="Assumptions" sheetId="1" r:id="rId1"/>
    <sheet name="Unit Economics" sheetId="2" r:id="rId2"/>
    <sheet name="Pricing Sensitivity Table" sheetId="7" r:id="rId3"/>
    <sheet name="Markdown Table" sheetId="6" r:id="rId4"/>
    <sheet name="Markdown Scenario" sheetId="4" r:id="rId5"/>
    <sheet name="Summary" sheetId="9" r:id="rId6"/>
    <sheet name="Inflation Sensitivity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G4" i="8" l="1"/>
  <c r="G3" i="8"/>
  <c r="G2" i="8"/>
  <c r="F4" i="8"/>
  <c r="E4" i="8"/>
  <c r="C4" i="8"/>
  <c r="D4" i="8" s="1"/>
  <c r="F2" i="8"/>
  <c r="E2" i="8"/>
  <c r="D2" i="8"/>
  <c r="C2" i="8"/>
  <c r="C3" i="8"/>
  <c r="D3" i="8" s="1"/>
  <c r="E3" i="8" s="1"/>
  <c r="F3" i="8" s="1"/>
  <c r="C19" i="2"/>
  <c r="B19" i="2"/>
  <c r="A19" i="2"/>
  <c r="D2" i="6"/>
  <c r="D3" i="6"/>
  <c r="E6" i="7"/>
  <c r="E5" i="7"/>
  <c r="E4" i="7"/>
  <c r="E3" i="7"/>
  <c r="E2" i="7"/>
  <c r="D6" i="7"/>
  <c r="D5" i="7"/>
  <c r="D4" i="7"/>
  <c r="D3" i="7"/>
  <c r="D2" i="7"/>
  <c r="C4" i="7"/>
  <c r="C5" i="7"/>
  <c r="C6" i="7"/>
  <c r="C3" i="7"/>
  <c r="B1" i="2"/>
  <c r="C11" i="4"/>
  <c r="C9" i="4"/>
  <c r="B11" i="2"/>
  <c r="B5" i="2"/>
  <c r="C13" i="4" l="1"/>
  <c r="C10" i="4"/>
  <c r="C12" i="4"/>
  <c r="B6" i="2"/>
  <c r="C17" i="4"/>
  <c r="B7" i="2" l="1"/>
  <c r="B8" i="2" s="1"/>
  <c r="B12" i="2"/>
  <c r="B13" i="2" s="1"/>
  <c r="B14" i="2" s="1"/>
  <c r="C14" i="4"/>
  <c r="C15" i="4" s="1"/>
</calcChain>
</file>

<file path=xl/sharedStrings.xml><?xml version="1.0" encoding="utf-8"?>
<sst xmlns="http://schemas.openxmlformats.org/spreadsheetml/2006/main" count="110" uniqueCount="52">
  <si>
    <t>Retail Price</t>
  </si>
  <si>
    <t>Units Sold (Monthly)</t>
  </si>
  <si>
    <t>Fabric Cost</t>
  </si>
  <si>
    <t>Manufacturing Labor</t>
  </si>
  <si>
    <t>Shipping &amp; Duties</t>
  </si>
  <si>
    <t>Packaging</t>
  </si>
  <si>
    <t xml:space="preserve">Store Labor Allocation </t>
  </si>
  <si>
    <t>Corporate Overhead Allocation</t>
  </si>
  <si>
    <t>Fixed Store Costs (Monthly)</t>
  </si>
  <si>
    <t>Total Variable Cost per Unit</t>
  </si>
  <si>
    <t>Contribution Margin</t>
  </si>
  <si>
    <t>Revenue per Unit</t>
  </si>
  <si>
    <t>Contribution Margin %</t>
  </si>
  <si>
    <t>Monthly Profit</t>
  </si>
  <si>
    <t>Total Revenue</t>
  </si>
  <si>
    <t>Total Variable Cost</t>
  </si>
  <si>
    <t>Operating Profit</t>
  </si>
  <si>
    <t>Revenue</t>
  </si>
  <si>
    <t>Units Sold</t>
  </si>
  <si>
    <t>Variable Cost Per Unit</t>
  </si>
  <si>
    <t>Initial Production</t>
  </si>
  <si>
    <t>Sold at Full Price</t>
  </si>
  <si>
    <t>Remaining Inventory</t>
  </si>
  <si>
    <t>Markdown Price</t>
  </si>
  <si>
    <t>Full Price Profit</t>
  </si>
  <si>
    <t>Markdown Profit</t>
  </si>
  <si>
    <t>Blended Margin</t>
  </si>
  <si>
    <t>Full Price Revenue</t>
  </si>
  <si>
    <t>Markdown Revenue</t>
  </si>
  <si>
    <t>Total Profit</t>
  </si>
  <si>
    <t>Inventory Write-Down Loss</t>
  </si>
  <si>
    <t>Fabric Inflation</t>
  </si>
  <si>
    <t>Assumptions</t>
  </si>
  <si>
    <t>Column1</t>
  </si>
  <si>
    <t>Full Price</t>
  </si>
  <si>
    <t>Markdown</t>
  </si>
  <si>
    <t>Price</t>
  </si>
  <si>
    <t>Contribution</t>
  </si>
  <si>
    <t>KPI Table</t>
  </si>
  <si>
    <t>Operating Margin</t>
  </si>
  <si>
    <t>Unit Variable Cost</t>
  </si>
  <si>
    <t>Column2</t>
  </si>
  <si>
    <t>Unit Economics</t>
  </si>
  <si>
    <t>Price Sensitivty Table</t>
  </si>
  <si>
    <t>Markdown Assumptions</t>
  </si>
  <si>
    <t>Markdown Analysis</t>
  </si>
  <si>
    <t>Markdown Results</t>
  </si>
  <si>
    <t>Initial Production (Units)</t>
  </si>
  <si>
    <t>Remaining Inventory (Units)</t>
  </si>
  <si>
    <t>Sold at Full Price (Units)</t>
  </si>
  <si>
    <t>Cost Shock/ Inflation Sensitivity</t>
  </si>
  <si>
    <t>Unit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</si>
</sst>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4"/>
      <color theme="1"/>
      <name val="Times New Roman"/>
      <family val="2"/>
    </font>
    <font>
      <sz val="14"/>
      <color theme="1"/>
      <name val="Times New Roman"/>
      <family val="2"/>
    </font>
    <font>
      <b/>
      <sz val="15"/>
      <color theme="3"/>
      <name val="Times New Roman"/>
      <family val="2"/>
    </font>
    <font>
      <b/>
      <sz val="14"/>
      <color theme="1"/>
      <name val="Times New Roman"/>
      <family val="1"/>
    </font>
    <font>
      <sz val="8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4">
    <xf numFmtId="0" fontId="0" fillId="0" borderId="0" xfId="0"/>
    <xf numFmtId="0" fontId="2" fillId="0" borderId="1" xfId="3"/>
    <xf numFmtId="0" fontId="0" fillId="0" borderId="0" xfId="0" quotePrefix="1"/>
    <xf numFmtId="9" fontId="0" fillId="0" borderId="0" xfId="2" applyFont="1"/>
    <xf numFmtId="44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0" fillId="0" borderId="0" xfId="2" applyNumberFormat="1" applyFont="1"/>
    <xf numFmtId="10" fontId="0" fillId="0" borderId="0" xfId="2" applyNumberFormat="1" applyFont="1"/>
    <xf numFmtId="9" fontId="0" fillId="0" borderId="0" xfId="0" applyNumberFormat="1"/>
    <xf numFmtId="44" fontId="0" fillId="0" borderId="0" xfId="0" applyNumberFormat="1"/>
    <xf numFmtId="44" fontId="0" fillId="0" borderId="0" xfId="1" applyNumberFormat="1" applyFont="1"/>
    <xf numFmtId="0" fontId="3" fillId="2" borderId="0" xfId="0" applyFont="1" applyFill="1"/>
    <xf numFmtId="0" fontId="0" fillId="0" borderId="0" xfId="1" applyNumberFormat="1" applyFont="1"/>
  </cellXfs>
  <cellStyles count="4">
    <cellStyle name="Currency" xfId="1" builtinId="4"/>
    <cellStyle name="Heading 1" xfId="3" builtinId="16"/>
    <cellStyle name="Normal" xfId="0" builtinId="0"/>
    <cellStyle name="Percent" xfId="2" builtinId="5"/>
  </cellStyles>
  <dxfs count="14"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none"/>
      </font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none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none"/>
      </font>
      <numFmt numFmtId="164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60861-CFA6-4C8B-B516-01FF2534AC96}" name="Table1" displayName="Table1" ref="A1:B10" totalsRowShown="0">
  <autoFilter ref="A1:B10" xr:uid="{BBF60861-CFA6-4C8B-B516-01FF2534AC96}"/>
  <tableColumns count="2">
    <tableColumn id="1" xr3:uid="{0CFE9307-5D46-4097-AF7A-4C510FFEB317}" name="Assumptions"/>
    <tableColumn id="2" xr3:uid="{66B1EB2E-BC23-432C-A3B8-327CFD3848D2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C26127-21F6-4565-A72C-1E2EF2CCCF49}" name="Table6" displayName="Table6" ref="A18:C19" totalsRowShown="0">
  <autoFilter ref="A18:C19" xr:uid="{FEC26127-21F6-4565-A72C-1E2EF2CCCF49}"/>
  <tableColumns count="3">
    <tableColumn id="1" xr3:uid="{8A12CDB1-224F-49A8-805A-273332BC83C5}" name="Revenue" dataDxfId="13" dataCellStyle="Currency">
      <calculatedColumnFormula>B11</calculatedColumnFormula>
    </tableColumn>
    <tableColumn id="2" xr3:uid="{DE78B29B-1194-4D4F-8AEF-E68B7741F44F}" name="Contribution" dataDxfId="12" dataCellStyle="Currency">
      <calculatedColumnFormula>B13</calculatedColumnFormula>
    </tableColumn>
    <tableColumn id="3" xr3:uid="{A6DF41D0-A56E-4B5E-8616-2CC3618AB9F8}" name="Operating Margin" dataDxfId="11" dataCellStyle="Percent">
      <calculatedColumnFormula>B14/B11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3CEF41-CB8B-4739-A6E0-9AA10B3D5196}" name="Table4" displayName="Table4" ref="A1:E6" totalsRowShown="0">
  <autoFilter ref="A1:E6" xr:uid="{6F3CEF41-CB8B-4739-A6E0-9AA10B3D5196}"/>
  <tableColumns count="5">
    <tableColumn id="1" xr3:uid="{CD4B9BA9-5D8F-4A4F-95E1-A22FA72831D6}" name="Price" dataDxfId="8" dataCellStyle="Currency"/>
    <tableColumn id="2" xr3:uid="{2F19F739-4150-40A7-861D-98D78AF9FE63}" name="Units Sold"/>
    <tableColumn id="3" xr3:uid="{DA783064-B7F2-449C-820B-B443FA44951A}" name="Revenue" dataDxfId="7" dataCellStyle="Currency">
      <calculatedColumnFormula>A2*B2</calculatedColumnFormula>
    </tableColumn>
    <tableColumn id="4" xr3:uid="{C24FF8C0-2E7B-4A0B-ACCE-3B99A8DAC46A}" name="Contribution Margin" dataDxfId="6" dataCellStyle="Currency"/>
    <tableColumn id="5" xr3:uid="{B0E43D62-74E3-486D-BAD9-CCC134AE052D}" name="Operating Profit" dataDxfId="5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9685BE-B9F2-40A3-B7A7-C40E0472EC01}" name="Table3" displayName="Table3" ref="A1:D3" totalsRowShown="0">
  <autoFilter ref="A1:D3" xr:uid="{3C9685BE-B9F2-40A3-B7A7-C40E0472EC01}"/>
  <tableColumns count="4">
    <tableColumn id="1" xr3:uid="{F492A096-3C90-48B9-9748-66974495353E}" name="Markdown"/>
    <tableColumn id="2" xr3:uid="{9C2F14B9-A37C-48A0-B8BA-899C8B6EED24}" name="Units Sold"/>
    <tableColumn id="3" xr3:uid="{2A4855CF-896E-42EE-A425-5F96FF78D023}" name="Price" dataDxfId="4" dataCellStyle="Currency"/>
    <tableColumn id="4" xr3:uid="{8E1DC14B-7D59-49A9-B909-107BA831CD25}" name="Revenue" dataDxfId="3" dataCellStyle="Currency">
      <calculatedColumnFormula>Table3[[#This Row],[Units Sold]]*Table3[[#This Row],[Price]]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61745F3-CB70-4A35-8213-EAEF5B584409}" name="Table13" displayName="Table13" ref="A2:B11" totalsRowShown="0">
  <autoFilter ref="A2:B11" xr:uid="{A61745F3-CB70-4A35-8213-EAEF5B584409}"/>
  <tableColumns count="2">
    <tableColumn id="1" xr3:uid="{5CF2F4D9-2ED8-4A9D-8CE8-9AF254FF2504}" name="Assumptions"/>
    <tableColumn id="2" xr3:uid="{8DE90B03-C37C-41CB-8C05-D1FC93357EE8}" name="Column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2873E83-0AD5-4978-AC7B-E8DC01B28B03}" name="Table14" displayName="Table14" ref="A20:B24" totalsRowShown="0">
  <autoFilter ref="A20:B24" xr:uid="{E2873E83-0AD5-4978-AC7B-E8DC01B28B03}"/>
  <tableColumns count="2">
    <tableColumn id="1" xr3:uid="{909AD78F-6BA8-43F7-877B-D71CE3325113}" name="Monthly Profit"/>
    <tableColumn id="2" xr3:uid="{E3CB6FE9-72E8-4C27-8D65-021877B876BC}" name="Column1" dataDxfId="2" dataCellStyle="Currenc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05D2F8F-A7AC-4212-ACDB-66DDBFB6F747}" name="Table15" displayName="Table15" ref="A14:B18" totalsRowShown="0">
  <autoFilter ref="A14:B18" xr:uid="{505D2F8F-A7AC-4212-ACDB-66DDBFB6F747}"/>
  <tableColumns count="2">
    <tableColumn id="1" xr3:uid="{AA6C4DBB-08A1-4A5C-AC27-CE0E3EB3536A}" name="Unit Analysis"/>
    <tableColumn id="2" xr3:uid="{4C59F827-6303-46F6-9907-7543977975CE}" name="Column1" dataDxfId="1" dataCellStyle="Currenc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ADA3C0A-9D5E-484C-9F96-558B722713EC}" name="Table17" displayName="Table17" ref="D2:H7" totalsRowShown="0">
  <autoFilter ref="D2:H7" xr:uid="{4ADA3C0A-9D5E-484C-9F96-558B722713EC}"/>
  <tableColumns count="5">
    <tableColumn id="1" xr3:uid="{213B37CE-DF5B-436F-AEF3-A6E872A7B659}" name="Price" dataCellStyle="Currency"/>
    <tableColumn id="2" xr3:uid="{A437F75C-381E-4113-896A-0F2A83329121}" name="Units Sold"/>
    <tableColumn id="3" xr3:uid="{84115D7F-9A0F-44F6-BA8C-8CCAD5731BDE}" name="Revenue" dataCellStyle="Currency"/>
    <tableColumn id="4" xr3:uid="{BD60FEB6-EC7C-4DDB-9781-EEFC6C28D6D5}" name="Contribution Margin" dataCellStyle="Currency"/>
    <tableColumn id="5" xr3:uid="{29C6A457-3717-4C8C-A1AE-C602F6E585BB}" name="Operating Profit" dataCellStyle="Currenc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4DD573E-C860-4852-AE88-2FAEAF6C9398}" name="Table18" displayName="Table18" ref="D10:I13" totalsRowShown="0">
  <autoFilter ref="D10:I13" xr:uid="{34DD573E-C860-4852-AE88-2FAEAF6C9398}"/>
  <tableColumns count="6">
    <tableColumn id="1" xr3:uid="{5D3924A0-8BB5-492F-BB54-4A522B459A12}" name="Fabric Inflation"/>
    <tableColumn id="2" xr3:uid="{D71D4163-8210-4056-9768-98D46F2F70A8}" name="Fabric Cost" dataCellStyle="Currency"/>
    <tableColumn id="3" xr3:uid="{8708B7BA-1E15-4E3D-95B5-338D44AB4043}" name="Unit Variable Cost" dataCellStyle="Currency"/>
    <tableColumn id="4" xr3:uid="{B511FD71-4423-4A3C-8D16-03DEE8FE3836}" name="Contribution Margin" dataCellStyle="Currency"/>
    <tableColumn id="5" xr3:uid="{79A64293-7EFB-4EB9-8F37-AAB3BB5AEE71}" name="Operating Profit" dataCellStyle="Currency"/>
    <tableColumn id="6" xr3:uid="{529296B7-5973-4715-9561-352A89E0ADFE}" name="Operating Margin" dataDxfId="0" dataCellStyle="Perce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F3435A0-BB44-4BD5-8BB5-0B7ED2991AA2}" name="Table20" displayName="Table20" ref="D16:E20" totalsRowShown="0">
  <autoFilter ref="D16:E20" xr:uid="{EF3435A0-BB44-4BD5-8BB5-0B7ED2991AA2}"/>
  <tableColumns count="2">
    <tableColumn id="1" xr3:uid="{DCABA09A-EF6E-4D9A-A193-41D60ECB1418}" name="Markdown Assumptions"/>
    <tableColumn id="2" xr3:uid="{EE55BA58-366D-4419-BA0A-C3F79BAEF1A6}" name="Column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D6B5D4E-46F1-41C9-946E-A569FE75F613}" name="Table21" displayName="Table21" ref="D22:E31" totalsRowShown="0">
  <autoFilter ref="D22:E31" xr:uid="{FD6B5D4E-46F1-41C9-946E-A569FE75F613}"/>
  <tableColumns count="2">
    <tableColumn id="1" xr3:uid="{C85B353A-206F-4A81-86BD-E37B0D3B7E12}" name="Markdown Results"/>
    <tableColumn id="2" xr3:uid="{123FC3AD-12D1-422F-8892-C3B19D7B5A04}" name="Column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3C453F-5BD1-441F-88A0-370DAB58F13A}" name="Table7" displayName="Table7" ref="B1:G4" totalsRowShown="0">
  <autoFilter ref="B1:G4" xr:uid="{603C453F-5BD1-441F-88A0-370DAB58F13A}"/>
  <tableColumns count="6">
    <tableColumn id="1" xr3:uid="{B125F2C2-B4C7-45EF-B501-475F95A087A0}" name="Fabric Inflation" dataDxfId="10" dataCellStyle="Percent"/>
    <tableColumn id="2" xr3:uid="{6B53627A-63D2-428B-9ED6-425C06C775ED}" name="Fabric Cost"/>
    <tableColumn id="3" xr3:uid="{9347EB87-F31C-40E8-9995-6136D71CA8F1}" name="Unit Variable Cost"/>
    <tableColumn id="4" xr3:uid="{62DE5419-1997-49E1-B3CC-2E138D083600}" name="Contribution Margin"/>
    <tableColumn id="5" xr3:uid="{B2A13A31-D331-4830-B48F-8467900B5B4B}" name="Operating Profit"/>
    <tableColumn id="6" xr3:uid="{AE527346-847A-44B5-917D-E127A52B5711}" name="Operating Margin" dataDxfId="9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D8FD-A610-4A80-803E-1760EE51B2C4}">
  <dimension ref="A1:B10"/>
  <sheetViews>
    <sheetView workbookViewId="0">
      <selection activeCell="B2" sqref="B2"/>
    </sheetView>
  </sheetViews>
  <sheetFormatPr defaultRowHeight="18.75" x14ac:dyDescent="0.3"/>
  <cols>
    <col min="1" max="1" width="27.44140625" bestFit="1" customWidth="1"/>
    <col min="2" max="2" width="10.6640625" customWidth="1"/>
  </cols>
  <sheetData>
    <row r="1" spans="1:2" x14ac:dyDescent="0.3">
      <c r="A1" t="s">
        <v>32</v>
      </c>
      <c r="B1" t="s">
        <v>33</v>
      </c>
    </row>
    <row r="2" spans="1:2" x14ac:dyDescent="0.3">
      <c r="A2" t="s">
        <v>0</v>
      </c>
      <c r="B2">
        <v>90</v>
      </c>
    </row>
    <row r="3" spans="1:2" x14ac:dyDescent="0.3">
      <c r="A3" t="s">
        <v>1</v>
      </c>
      <c r="B3">
        <v>1000</v>
      </c>
    </row>
    <row r="4" spans="1:2" x14ac:dyDescent="0.3">
      <c r="A4" t="s">
        <v>2</v>
      </c>
      <c r="B4">
        <v>18</v>
      </c>
    </row>
    <row r="5" spans="1:2" x14ac:dyDescent="0.3">
      <c r="A5" t="s">
        <v>3</v>
      </c>
      <c r="B5">
        <v>12</v>
      </c>
    </row>
    <row r="6" spans="1:2" x14ac:dyDescent="0.3">
      <c r="A6" t="s">
        <v>4</v>
      </c>
      <c r="B6">
        <v>5</v>
      </c>
    </row>
    <row r="7" spans="1:2" x14ac:dyDescent="0.3">
      <c r="A7" t="s">
        <v>5</v>
      </c>
      <c r="B7">
        <v>2</v>
      </c>
    </row>
    <row r="8" spans="1:2" x14ac:dyDescent="0.3">
      <c r="A8" t="s">
        <v>6</v>
      </c>
      <c r="B8">
        <v>8</v>
      </c>
    </row>
    <row r="9" spans="1:2" x14ac:dyDescent="0.3">
      <c r="A9" t="s">
        <v>7</v>
      </c>
      <c r="B9">
        <v>10</v>
      </c>
    </row>
    <row r="10" spans="1:2" x14ac:dyDescent="0.3">
      <c r="A10" t="s">
        <v>8</v>
      </c>
      <c r="B10">
        <v>25000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B3B8-C4AB-4BFB-A0DD-4836944263DC}">
  <dimension ref="A1:D20"/>
  <sheetViews>
    <sheetView workbookViewId="0">
      <selection sqref="A1:B14"/>
    </sheetView>
  </sheetViews>
  <sheetFormatPr defaultRowHeight="18.75" x14ac:dyDescent="0.3"/>
  <cols>
    <col min="1" max="1" width="28.109375" bestFit="1" customWidth="1"/>
    <col min="2" max="2" width="14" customWidth="1"/>
    <col min="3" max="3" width="19" customWidth="1"/>
  </cols>
  <sheetData>
    <row r="1" spans="1:2" ht="20.25" thickBot="1" x14ac:dyDescent="0.35">
      <c r="A1" s="1" t="s">
        <v>9</v>
      </c>
      <c r="B1" s="2">
        <f>SUM(Assumptions!B4:B9)</f>
        <v>55</v>
      </c>
    </row>
    <row r="2" spans="1:2" ht="19.5" thickTop="1" x14ac:dyDescent="0.3"/>
    <row r="4" spans="1:2" ht="20.25" thickBot="1" x14ac:dyDescent="0.35">
      <c r="A4" s="1" t="s">
        <v>10</v>
      </c>
    </row>
    <row r="5" spans="1:2" ht="19.5" thickTop="1" x14ac:dyDescent="0.3">
      <c r="A5" t="s">
        <v>11</v>
      </c>
      <c r="B5">
        <f>Assumptions!B2</f>
        <v>90</v>
      </c>
    </row>
    <row r="6" spans="1:2" x14ac:dyDescent="0.3">
      <c r="A6" t="s">
        <v>19</v>
      </c>
      <c r="B6">
        <f>B1</f>
        <v>55</v>
      </c>
    </row>
    <row r="7" spans="1:2" x14ac:dyDescent="0.3">
      <c r="A7" t="s">
        <v>10</v>
      </c>
      <c r="B7">
        <f>B5-B6</f>
        <v>35</v>
      </c>
    </row>
    <row r="8" spans="1:2" x14ac:dyDescent="0.3">
      <c r="A8" t="s">
        <v>12</v>
      </c>
      <c r="B8" s="3">
        <f>B7/B5</f>
        <v>0.3888888888888889</v>
      </c>
    </row>
    <row r="10" spans="1:2" ht="20.25" thickBot="1" x14ac:dyDescent="0.35">
      <c r="A10" s="1" t="s">
        <v>13</v>
      </c>
    </row>
    <row r="11" spans="1:2" ht="19.5" thickTop="1" x14ac:dyDescent="0.3">
      <c r="A11" t="s">
        <v>14</v>
      </c>
      <c r="B11">
        <f xml:space="preserve"> Assumptions!B2 *Assumptions!B3</f>
        <v>90000</v>
      </c>
    </row>
    <row r="12" spans="1:2" x14ac:dyDescent="0.3">
      <c r="A12" t="s">
        <v>15</v>
      </c>
      <c r="B12">
        <f>Assumptions!B3*'Unit Economics'!B6</f>
        <v>55000</v>
      </c>
    </row>
    <row r="13" spans="1:2" x14ac:dyDescent="0.3">
      <c r="A13" t="s">
        <v>10</v>
      </c>
      <c r="B13">
        <f>B11-B12</f>
        <v>35000</v>
      </c>
    </row>
    <row r="14" spans="1:2" x14ac:dyDescent="0.3">
      <c r="A14" t="s">
        <v>16</v>
      </c>
      <c r="B14" s="7">
        <f>B13-Assumptions!B10</f>
        <v>10000</v>
      </c>
    </row>
    <row r="17" spans="1:4" x14ac:dyDescent="0.3">
      <c r="A17" t="s">
        <v>38</v>
      </c>
    </row>
    <row r="18" spans="1:4" x14ac:dyDescent="0.3">
      <c r="A18" t="s">
        <v>17</v>
      </c>
      <c r="B18" t="s">
        <v>37</v>
      </c>
      <c r="C18" t="s">
        <v>39</v>
      </c>
    </row>
    <row r="19" spans="1:4" x14ac:dyDescent="0.3">
      <c r="A19" s="5">
        <f>B11</f>
        <v>90000</v>
      </c>
      <c r="B19" s="5">
        <f>B13</f>
        <v>35000</v>
      </c>
      <c r="C19" s="8">
        <f>B14/B11</f>
        <v>0.1111111111111111</v>
      </c>
      <c r="D19" s="3"/>
    </row>
    <row r="20" spans="1:4" x14ac:dyDescent="0.3">
      <c r="C20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0725-F937-48BC-A811-148CBB015205}">
  <dimension ref="A1:E6"/>
  <sheetViews>
    <sheetView workbookViewId="0">
      <selection sqref="A1:E6"/>
    </sheetView>
  </sheetViews>
  <sheetFormatPr defaultRowHeight="18.75" x14ac:dyDescent="0.3"/>
  <cols>
    <col min="1" max="1" width="9.88671875" bestFit="1" customWidth="1"/>
    <col min="2" max="2" width="11.6640625" customWidth="1"/>
    <col min="3" max="3" width="11.44140625" bestFit="1" customWidth="1"/>
    <col min="4" max="4" width="21.33203125" customWidth="1"/>
    <col min="5" max="5" width="17.44140625" customWidth="1"/>
  </cols>
  <sheetData>
    <row r="1" spans="1:5" x14ac:dyDescent="0.3">
      <c r="A1" t="s">
        <v>36</v>
      </c>
      <c r="B1" t="s">
        <v>18</v>
      </c>
      <c r="C1" t="s">
        <v>17</v>
      </c>
      <c r="D1" t="s">
        <v>10</v>
      </c>
      <c r="E1" t="s">
        <v>16</v>
      </c>
    </row>
    <row r="2" spans="1:5" x14ac:dyDescent="0.3">
      <c r="A2" s="5">
        <v>80</v>
      </c>
      <c r="B2">
        <v>1200</v>
      </c>
      <c r="C2" s="5">
        <f>A2*B2</f>
        <v>96000</v>
      </c>
      <c r="D2" s="5">
        <f>C2-(B2*'Unit Economics'!B1)</f>
        <v>30000</v>
      </c>
      <c r="E2" s="5">
        <f>D2-Assumptions!B10</f>
        <v>5000</v>
      </c>
    </row>
    <row r="3" spans="1:5" x14ac:dyDescent="0.3">
      <c r="A3" s="5">
        <v>85</v>
      </c>
      <c r="B3">
        <v>1100</v>
      </c>
      <c r="C3" s="5">
        <f>A3*B3</f>
        <v>93500</v>
      </c>
      <c r="D3" s="5">
        <f>C3-(B3*'Unit Economics'!B1)</f>
        <v>33000</v>
      </c>
      <c r="E3" s="5">
        <f>D3-Assumptions!B10</f>
        <v>8000</v>
      </c>
    </row>
    <row r="4" spans="1:5" x14ac:dyDescent="0.3">
      <c r="A4" s="5">
        <v>90</v>
      </c>
      <c r="B4">
        <v>1000</v>
      </c>
      <c r="C4" s="5">
        <f t="shared" ref="C4:C6" si="0">A4*B4</f>
        <v>90000</v>
      </c>
      <c r="D4" s="5">
        <f>C4-(B4*'Unit Economics'!B1)</f>
        <v>35000</v>
      </c>
      <c r="E4" s="5">
        <f>D4-Assumptions!B10</f>
        <v>10000</v>
      </c>
    </row>
    <row r="5" spans="1:5" x14ac:dyDescent="0.3">
      <c r="A5" s="5">
        <v>95</v>
      </c>
      <c r="B5">
        <v>920</v>
      </c>
      <c r="C5" s="5">
        <f t="shared" si="0"/>
        <v>87400</v>
      </c>
      <c r="D5" s="5">
        <f>C5-(B5*'Unit Economics'!B1)</f>
        <v>36800</v>
      </c>
      <c r="E5" s="5">
        <f>D5-Assumptions!B10</f>
        <v>11800</v>
      </c>
    </row>
    <row r="6" spans="1:5" x14ac:dyDescent="0.3">
      <c r="A6" s="5">
        <v>100</v>
      </c>
      <c r="B6">
        <v>850</v>
      </c>
      <c r="C6" s="5">
        <f t="shared" si="0"/>
        <v>85000</v>
      </c>
      <c r="D6" s="5">
        <f>C6-(B6*'Unit Economics'!B1)</f>
        <v>38250</v>
      </c>
      <c r="E6" s="5">
        <f>D6-Assumptions!B10</f>
        <v>13250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9CE5-2C66-4B35-8E15-31965C8E00C9}">
  <dimension ref="A1:D3"/>
  <sheetViews>
    <sheetView workbookViewId="0">
      <selection activeCell="H11" sqref="H11"/>
    </sheetView>
  </sheetViews>
  <sheetFormatPr defaultRowHeight="18.75" x14ac:dyDescent="0.3"/>
  <cols>
    <col min="1" max="1" width="12.5546875" customWidth="1"/>
    <col min="2" max="3" width="10.6640625" customWidth="1"/>
    <col min="4" max="4" width="12.44140625" bestFit="1" customWidth="1"/>
  </cols>
  <sheetData>
    <row r="1" spans="1:4" x14ac:dyDescent="0.3">
      <c r="A1" t="s">
        <v>35</v>
      </c>
      <c r="B1" t="s">
        <v>18</v>
      </c>
      <c r="C1" t="s">
        <v>36</v>
      </c>
      <c r="D1" t="s">
        <v>17</v>
      </c>
    </row>
    <row r="2" spans="1:4" x14ac:dyDescent="0.3">
      <c r="A2" t="s">
        <v>34</v>
      </c>
      <c r="B2">
        <v>4000</v>
      </c>
      <c r="C2" s="5">
        <v>90</v>
      </c>
      <c r="D2" s="5">
        <f>Table3[[#This Row],[Units Sold]]*Table3[[#This Row],[Price]]</f>
        <v>360000</v>
      </c>
    </row>
    <row r="3" spans="1:4" x14ac:dyDescent="0.3">
      <c r="A3" t="s">
        <v>35</v>
      </c>
      <c r="B3">
        <v>1000</v>
      </c>
      <c r="C3" s="5">
        <v>65</v>
      </c>
      <c r="D3" s="5">
        <f>Table3[[#This Row],[Units Sold]]*Table3[[#This Row],[Price]]</f>
        <v>65000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FC9F-6DA6-400F-9EF2-2CFC73E3B3D2}">
  <dimension ref="B1:C21"/>
  <sheetViews>
    <sheetView workbookViewId="0">
      <selection activeCell="B9" sqref="B9:C17"/>
    </sheetView>
  </sheetViews>
  <sheetFormatPr defaultRowHeight="18.75" x14ac:dyDescent="0.3"/>
  <cols>
    <col min="2" max="2" width="24.6640625" bestFit="1" customWidth="1"/>
    <col min="3" max="3" width="14.88671875" bestFit="1" customWidth="1"/>
  </cols>
  <sheetData>
    <row r="1" spans="2:3" x14ac:dyDescent="0.3">
      <c r="B1" t="s">
        <v>20</v>
      </c>
      <c r="C1">
        <v>5000</v>
      </c>
    </row>
    <row r="2" spans="2:3" x14ac:dyDescent="0.3">
      <c r="B2" t="s">
        <v>21</v>
      </c>
      <c r="C2">
        <v>4000</v>
      </c>
    </row>
    <row r="3" spans="2:3" x14ac:dyDescent="0.3">
      <c r="B3" t="s">
        <v>22</v>
      </c>
      <c r="C3">
        <v>1000</v>
      </c>
    </row>
    <row r="4" spans="2:3" x14ac:dyDescent="0.3">
      <c r="B4" t="s">
        <v>23</v>
      </c>
      <c r="C4" s="5">
        <v>65</v>
      </c>
    </row>
    <row r="5" spans="2:3" x14ac:dyDescent="0.3">
      <c r="C5" s="6"/>
    </row>
    <row r="6" spans="2:3" x14ac:dyDescent="0.3">
      <c r="C6" s="6"/>
    </row>
    <row r="7" spans="2:3" x14ac:dyDescent="0.3">
      <c r="C7" s="6"/>
    </row>
    <row r="8" spans="2:3" x14ac:dyDescent="0.3">
      <c r="C8" s="6"/>
    </row>
    <row r="9" spans="2:3" x14ac:dyDescent="0.3">
      <c r="B9" t="s">
        <v>27</v>
      </c>
      <c r="C9" s="5">
        <f>C2*Assumptions!B2</f>
        <v>360000</v>
      </c>
    </row>
    <row r="10" spans="2:3" x14ac:dyDescent="0.3">
      <c r="B10" t="s">
        <v>24</v>
      </c>
      <c r="C10" s="5">
        <f>C9-(C2*'Unit Economics'!B1)</f>
        <v>140000</v>
      </c>
    </row>
    <row r="11" spans="2:3" x14ac:dyDescent="0.3">
      <c r="B11" t="s">
        <v>28</v>
      </c>
      <c r="C11" s="5">
        <f>C3*C4</f>
        <v>65000</v>
      </c>
    </row>
    <row r="12" spans="2:3" x14ac:dyDescent="0.3">
      <c r="B12" t="s">
        <v>25</v>
      </c>
      <c r="C12" s="5">
        <f>C11-(C3*'Unit Economics'!B1)</f>
        <v>10000</v>
      </c>
    </row>
    <row r="13" spans="2:3" x14ac:dyDescent="0.3">
      <c r="B13" t="s">
        <v>14</v>
      </c>
      <c r="C13" s="5">
        <f>C9+C11</f>
        <v>425000</v>
      </c>
    </row>
    <row r="14" spans="2:3" x14ac:dyDescent="0.3">
      <c r="B14" t="s">
        <v>29</v>
      </c>
      <c r="C14" s="5">
        <f>C10+C12</f>
        <v>150000</v>
      </c>
    </row>
    <row r="15" spans="2:3" x14ac:dyDescent="0.3">
      <c r="B15" t="s">
        <v>26</v>
      </c>
      <c r="C15" s="3">
        <f>C14/C13</f>
        <v>0.35294117647058826</v>
      </c>
    </row>
    <row r="17" spans="2:3" x14ac:dyDescent="0.3">
      <c r="B17" t="s">
        <v>30</v>
      </c>
      <c r="C17" s="6">
        <f>('Unit Economics'!B1-'Markdown Scenario'!C4) *'Markdown Scenario'!C1</f>
        <v>-50000</v>
      </c>
    </row>
    <row r="21" spans="2:3" x14ac:dyDescent="0.3">
      <c r="C21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7D120-EFC9-45AD-9AAD-A715C243FF88}">
  <dimension ref="A1:I31"/>
  <sheetViews>
    <sheetView tabSelected="1" workbookViewId="0">
      <selection activeCell="F41" sqref="F41"/>
    </sheetView>
  </sheetViews>
  <sheetFormatPr defaultRowHeight="18.75" x14ac:dyDescent="0.3"/>
  <cols>
    <col min="1" max="1" width="27.44140625" bestFit="1" customWidth="1"/>
    <col min="2" max="2" width="12" customWidth="1"/>
    <col min="4" max="4" width="31.33203125" bestFit="1" customWidth="1"/>
    <col min="5" max="5" width="13.21875" customWidth="1"/>
    <col min="6" max="6" width="19.33203125" customWidth="1"/>
    <col min="7" max="7" width="21.33203125" customWidth="1"/>
    <col min="8" max="8" width="17.44140625" customWidth="1"/>
    <col min="9" max="9" width="19" customWidth="1"/>
  </cols>
  <sheetData>
    <row r="1" spans="1:9" x14ac:dyDescent="0.3">
      <c r="A1" s="12" t="s">
        <v>32</v>
      </c>
      <c r="D1" s="12" t="s">
        <v>43</v>
      </c>
      <c r="E1" s="12"/>
    </row>
    <row r="2" spans="1:9" x14ac:dyDescent="0.3">
      <c r="A2" t="s">
        <v>32</v>
      </c>
      <c r="B2" t="s">
        <v>33</v>
      </c>
      <c r="D2" t="s">
        <v>36</v>
      </c>
      <c r="E2" t="s">
        <v>18</v>
      </c>
      <c r="F2" t="s">
        <v>17</v>
      </c>
      <c r="G2" t="s">
        <v>10</v>
      </c>
      <c r="H2" t="s">
        <v>16</v>
      </c>
    </row>
    <row r="3" spans="1:9" x14ac:dyDescent="0.3">
      <c r="A3" t="s">
        <v>0</v>
      </c>
      <c r="B3" s="4">
        <v>90</v>
      </c>
      <c r="D3" s="4">
        <v>80</v>
      </c>
      <c r="E3">
        <v>1200</v>
      </c>
      <c r="F3" s="4">
        <v>96000</v>
      </c>
      <c r="G3" s="4">
        <v>30000</v>
      </c>
      <c r="H3" s="4">
        <v>5000</v>
      </c>
    </row>
    <row r="4" spans="1:9" x14ac:dyDescent="0.3">
      <c r="A4" t="s">
        <v>1</v>
      </c>
      <c r="B4">
        <v>1000</v>
      </c>
      <c r="D4" s="4">
        <v>85</v>
      </c>
      <c r="E4">
        <v>1100</v>
      </c>
      <c r="F4" s="4">
        <v>93500</v>
      </c>
      <c r="G4" s="4">
        <v>33000</v>
      </c>
      <c r="H4" s="4">
        <v>8000</v>
      </c>
    </row>
    <row r="5" spans="1:9" x14ac:dyDescent="0.3">
      <c r="A5" t="s">
        <v>2</v>
      </c>
      <c r="B5" s="4">
        <v>18</v>
      </c>
      <c r="D5" s="4">
        <v>90</v>
      </c>
      <c r="E5">
        <v>1000</v>
      </c>
      <c r="F5" s="4">
        <v>90000</v>
      </c>
      <c r="G5" s="4">
        <v>35000</v>
      </c>
      <c r="H5" s="4">
        <v>10000</v>
      </c>
    </row>
    <row r="6" spans="1:9" x14ac:dyDescent="0.3">
      <c r="A6" t="s">
        <v>3</v>
      </c>
      <c r="B6" s="4">
        <v>12</v>
      </c>
      <c r="D6" s="4">
        <v>95</v>
      </c>
      <c r="E6">
        <v>920</v>
      </c>
      <c r="F6" s="4">
        <v>87400</v>
      </c>
      <c r="G6" s="4">
        <v>36800</v>
      </c>
      <c r="H6" s="4">
        <v>11800</v>
      </c>
    </row>
    <row r="7" spans="1:9" x14ac:dyDescent="0.3">
      <c r="A7" t="s">
        <v>4</v>
      </c>
      <c r="B7" s="4">
        <v>5</v>
      </c>
      <c r="D7" s="4">
        <v>100</v>
      </c>
      <c r="E7">
        <v>850</v>
      </c>
      <c r="F7" s="4">
        <v>85000</v>
      </c>
      <c r="G7" s="4">
        <v>38250</v>
      </c>
      <c r="H7" s="4">
        <v>13250</v>
      </c>
    </row>
    <row r="8" spans="1:9" x14ac:dyDescent="0.3">
      <c r="A8" t="s">
        <v>5</v>
      </c>
      <c r="B8" s="4">
        <v>2</v>
      </c>
    </row>
    <row r="9" spans="1:9" x14ac:dyDescent="0.3">
      <c r="A9" t="s">
        <v>6</v>
      </c>
      <c r="B9" s="4">
        <v>8</v>
      </c>
      <c r="D9" s="12" t="s">
        <v>50</v>
      </c>
    </row>
    <row r="10" spans="1:9" x14ac:dyDescent="0.3">
      <c r="A10" t="s">
        <v>7</v>
      </c>
      <c r="B10" s="4">
        <v>10</v>
      </c>
      <c r="D10" t="s">
        <v>31</v>
      </c>
      <c r="E10" t="s">
        <v>2</v>
      </c>
      <c r="F10" t="s">
        <v>40</v>
      </c>
      <c r="G10" t="s">
        <v>10</v>
      </c>
      <c r="H10" t="s">
        <v>16</v>
      </c>
      <c r="I10" t="s">
        <v>39</v>
      </c>
    </row>
    <row r="11" spans="1:9" x14ac:dyDescent="0.3">
      <c r="A11" t="s">
        <v>8</v>
      </c>
      <c r="B11" s="4">
        <v>25000</v>
      </c>
      <c r="D11">
        <v>0</v>
      </c>
      <c r="E11" s="4">
        <v>18</v>
      </c>
      <c r="F11" s="4">
        <v>55</v>
      </c>
      <c r="G11" s="4">
        <v>35</v>
      </c>
      <c r="H11" s="4">
        <v>10</v>
      </c>
      <c r="I11" s="8">
        <v>0.1111111111111111</v>
      </c>
    </row>
    <row r="12" spans="1:9" x14ac:dyDescent="0.3">
      <c r="D12" s="3">
        <v>0.08</v>
      </c>
      <c r="E12" s="4">
        <v>19.079999999999998</v>
      </c>
      <c r="F12" s="4">
        <v>56.08</v>
      </c>
      <c r="G12" s="4">
        <v>33.92</v>
      </c>
      <c r="H12" s="4">
        <v>8.9200000000000017</v>
      </c>
      <c r="I12" s="8">
        <v>9.9111111111111136E-2</v>
      </c>
    </row>
    <row r="13" spans="1:9" x14ac:dyDescent="0.3">
      <c r="A13" s="12" t="s">
        <v>42</v>
      </c>
      <c r="D13" s="3">
        <v>0.12</v>
      </c>
      <c r="E13" s="4">
        <v>19.12</v>
      </c>
      <c r="F13" s="4">
        <v>56.120000000000005</v>
      </c>
      <c r="G13" s="4">
        <v>33.879999999999995</v>
      </c>
      <c r="H13" s="4">
        <v>8.8799999999999955</v>
      </c>
      <c r="I13" s="8">
        <v>9.8666666666666611E-2</v>
      </c>
    </row>
    <row r="14" spans="1:9" x14ac:dyDescent="0.3">
      <c r="A14" t="s">
        <v>51</v>
      </c>
      <c r="B14" t="s">
        <v>33</v>
      </c>
    </row>
    <row r="15" spans="1:9" x14ac:dyDescent="0.3">
      <c r="A15" t="s">
        <v>11</v>
      </c>
      <c r="B15" s="11">
        <v>90</v>
      </c>
      <c r="D15" s="12" t="s">
        <v>45</v>
      </c>
    </row>
    <row r="16" spans="1:9" x14ac:dyDescent="0.3">
      <c r="A16" t="s">
        <v>19</v>
      </c>
      <c r="B16" s="11">
        <v>55</v>
      </c>
      <c r="D16" t="s">
        <v>44</v>
      </c>
      <c r="E16" t="s">
        <v>41</v>
      </c>
    </row>
    <row r="17" spans="1:7" x14ac:dyDescent="0.3">
      <c r="A17" t="s">
        <v>10</v>
      </c>
      <c r="B17" s="11">
        <v>35</v>
      </c>
      <c r="D17" t="s">
        <v>47</v>
      </c>
      <c r="E17">
        <v>5000</v>
      </c>
    </row>
    <row r="18" spans="1:7" x14ac:dyDescent="0.3">
      <c r="A18" t="s">
        <v>12</v>
      </c>
      <c r="B18" s="3">
        <v>0.3888888888888889</v>
      </c>
      <c r="D18" t="s">
        <v>49</v>
      </c>
      <c r="E18" s="13">
        <v>4000</v>
      </c>
    </row>
    <row r="19" spans="1:7" x14ac:dyDescent="0.3">
      <c r="D19" t="s">
        <v>48</v>
      </c>
      <c r="E19" s="7">
        <v>1000</v>
      </c>
    </row>
    <row r="20" spans="1:7" x14ac:dyDescent="0.3">
      <c r="A20" t="s">
        <v>13</v>
      </c>
      <c r="B20" t="s">
        <v>33</v>
      </c>
      <c r="D20" t="s">
        <v>23</v>
      </c>
      <c r="E20" s="4">
        <v>65</v>
      </c>
    </row>
    <row r="21" spans="1:7" x14ac:dyDescent="0.3">
      <c r="A21" t="s">
        <v>14</v>
      </c>
      <c r="B21" s="4">
        <v>90000</v>
      </c>
      <c r="E21" s="4"/>
    </row>
    <row r="22" spans="1:7" x14ac:dyDescent="0.3">
      <c r="A22" t="s">
        <v>15</v>
      </c>
      <c r="B22" s="4">
        <v>55000</v>
      </c>
      <c r="D22" t="s">
        <v>46</v>
      </c>
      <c r="E22" s="4" t="s">
        <v>33</v>
      </c>
    </row>
    <row r="23" spans="1:7" x14ac:dyDescent="0.3">
      <c r="A23" t="s">
        <v>10</v>
      </c>
      <c r="B23" s="4">
        <v>35000</v>
      </c>
      <c r="D23" t="s">
        <v>27</v>
      </c>
      <c r="E23" s="4">
        <v>360000</v>
      </c>
    </row>
    <row r="24" spans="1:7" x14ac:dyDescent="0.3">
      <c r="A24" t="s">
        <v>16</v>
      </c>
      <c r="B24" s="4">
        <v>10000</v>
      </c>
      <c r="D24" t="s">
        <v>24</v>
      </c>
      <c r="E24" s="4">
        <v>140000</v>
      </c>
    </row>
    <row r="25" spans="1:7" x14ac:dyDescent="0.3">
      <c r="D25" t="s">
        <v>28</v>
      </c>
      <c r="E25" s="4">
        <v>65000</v>
      </c>
    </row>
    <row r="26" spans="1:7" x14ac:dyDescent="0.3">
      <c r="D26" t="s">
        <v>25</v>
      </c>
      <c r="E26" s="4">
        <v>10000</v>
      </c>
    </row>
    <row r="27" spans="1:7" x14ac:dyDescent="0.3">
      <c r="D27" t="s">
        <v>14</v>
      </c>
      <c r="E27" s="4">
        <v>425000</v>
      </c>
    </row>
    <row r="28" spans="1:7" x14ac:dyDescent="0.3">
      <c r="D28" t="s">
        <v>29</v>
      </c>
      <c r="E28" s="4">
        <v>150000</v>
      </c>
    </row>
    <row r="29" spans="1:7" x14ac:dyDescent="0.3">
      <c r="D29" t="s">
        <v>26</v>
      </c>
      <c r="E29" s="3">
        <v>0.35294117647058826</v>
      </c>
    </row>
    <row r="31" spans="1:7" x14ac:dyDescent="0.3">
      <c r="D31" t="s">
        <v>30</v>
      </c>
      <c r="E31" s="4">
        <v>-50000</v>
      </c>
      <c r="G31" s="4"/>
    </row>
  </sheetData>
  <phoneticPr fontId="4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90A1-8CEB-4862-ABD9-B18D957FEBCC}">
  <dimension ref="A1:G4"/>
  <sheetViews>
    <sheetView workbookViewId="0">
      <selection activeCell="B1" sqref="B1:G4"/>
    </sheetView>
  </sheetViews>
  <sheetFormatPr defaultRowHeight="18.75" x14ac:dyDescent="0.3"/>
  <cols>
    <col min="1" max="1" width="13.77734375" bestFit="1" customWidth="1"/>
    <col min="2" max="2" width="16.6640625" customWidth="1"/>
    <col min="3" max="3" width="15.33203125" bestFit="1" customWidth="1"/>
    <col min="4" max="4" width="20.88671875" bestFit="1" customWidth="1"/>
    <col min="5" max="5" width="22.44140625" bestFit="1" customWidth="1"/>
    <col min="6" max="6" width="17.44140625" bestFit="1" customWidth="1"/>
    <col min="7" max="7" width="19" customWidth="1"/>
  </cols>
  <sheetData>
    <row r="1" spans="1:7" x14ac:dyDescent="0.3">
      <c r="B1" t="s">
        <v>31</v>
      </c>
      <c r="C1" t="s">
        <v>2</v>
      </c>
      <c r="D1" t="s">
        <v>40</v>
      </c>
      <c r="E1" t="s">
        <v>10</v>
      </c>
      <c r="F1" t="s">
        <v>16</v>
      </c>
      <c r="G1" t="s">
        <v>39</v>
      </c>
    </row>
    <row r="2" spans="1:7" x14ac:dyDescent="0.3">
      <c r="B2" s="3">
        <v>0</v>
      </c>
      <c r="C2" s="4">
        <f>Assumptions!B4</f>
        <v>18</v>
      </c>
      <c r="D2" s="4">
        <f>'Unit Economics'!B6</f>
        <v>55</v>
      </c>
      <c r="E2" s="4">
        <f>'Unit Economics'!B7</f>
        <v>35</v>
      </c>
      <c r="F2" s="4">
        <f>E2-(Assumptions!B10/Assumptions!B3)</f>
        <v>10</v>
      </c>
      <c r="G2" s="8">
        <f>F2/'Unit Economics'!B5</f>
        <v>0.1111111111111111</v>
      </c>
    </row>
    <row r="3" spans="1:7" x14ac:dyDescent="0.3">
      <c r="A3" s="9"/>
      <c r="B3" s="3">
        <v>0.08</v>
      </c>
      <c r="C3" s="4">
        <f>Assumptions!B4+(1+B3)</f>
        <v>19.079999999999998</v>
      </c>
      <c r="D3" s="10">
        <f>SUM(Assumptions!B5:B9)+C3</f>
        <v>56.08</v>
      </c>
      <c r="E3" s="10">
        <f>'Unit Economics'!B5-D3</f>
        <v>33.92</v>
      </c>
      <c r="F3" s="10">
        <f>E3-(Assumptions!B10/Table1[[#This Row],[Column1]])</f>
        <v>8.9200000000000017</v>
      </c>
      <c r="G3" s="8">
        <f>F3/'Unit Economics'!B5</f>
        <v>9.9111111111111136E-2</v>
      </c>
    </row>
    <row r="4" spans="1:7" x14ac:dyDescent="0.3">
      <c r="B4" s="3">
        <v>0.12</v>
      </c>
      <c r="C4">
        <f>Table1[[#This Row],[Column1]] +(1+'Inflation Sensitivity'!B4)</f>
        <v>19.12</v>
      </c>
      <c r="D4">
        <f>SUM(Assumptions!B5:B9)+C4</f>
        <v>56.120000000000005</v>
      </c>
      <c r="E4">
        <f>'Unit Economics'!B5-D4</f>
        <v>33.879999999999995</v>
      </c>
      <c r="F4">
        <f>E4-(Assumptions!B10/Assumptions!B3)</f>
        <v>8.8799999999999955</v>
      </c>
      <c r="G4" s="8">
        <f>F4/'Unit Economics'!B5</f>
        <v>9.8666666666666611E-2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Unit Economics</vt:lpstr>
      <vt:lpstr>Pricing Sensitivity Table</vt:lpstr>
      <vt:lpstr>Markdown Table</vt:lpstr>
      <vt:lpstr>Markdown Scenario</vt:lpstr>
      <vt:lpstr>Summary</vt:lpstr>
      <vt:lpstr>Inflation 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Adeniran</dc:creator>
  <cp:lastModifiedBy>Daniel Adeniran</cp:lastModifiedBy>
  <dcterms:created xsi:type="dcterms:W3CDTF">2026-03-02T18:36:03Z</dcterms:created>
  <dcterms:modified xsi:type="dcterms:W3CDTF">2026-03-23T19:55:45Z</dcterms:modified>
</cp:coreProperties>
</file>